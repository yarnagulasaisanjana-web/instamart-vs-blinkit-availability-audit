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NJANA\Downloads\"/>
    </mc:Choice>
  </mc:AlternateContent>
  <xr:revisionPtr revIDLastSave="0" documentId="13_ncr:1_{909D5649-C483-482D-A87D-98B50E72561A}" xr6:coauthVersionLast="47" xr6:coauthVersionMax="47" xr10:uidLastSave="{00000000-0000-0000-0000-000000000000}"/>
  <bookViews>
    <workbookView xWindow="-110" yWindow="-110" windowWidth="19420" windowHeight="10300" tabRatio="500" firstSheet="1" activeTab="3" xr2:uid="{00000000-000D-0000-FFFF-FFFF00000000}"/>
  </bookViews>
  <sheets>
    <sheet name="Key Findings" sheetId="1" r:id="rId1"/>
    <sheet name="Price Comparison" sheetId="2" r:id="rId2"/>
    <sheet name="Category Analysis" sheetId="3" r:id="rId3"/>
    <sheet name="Basket Summary" sheetId="4" r:id="rId4"/>
  </sheets>
  <definedNames>
    <definedName name="_xlnm._FilterDatabase" localSheetId="2" hidden="1">'Category Analysis'!$A$1:$D$6</definedName>
    <definedName name="_xlnm._FilterDatabase" localSheetId="1" hidden="1">'Price Comparison'!$A$1:$M$31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4" l="1"/>
  <c r="B7" i="4"/>
  <c r="C6" i="4"/>
  <c r="B6" i="4"/>
  <c r="C5" i="4"/>
  <c r="C11" i="4" s="1"/>
  <c r="B5" i="4"/>
  <c r="B11" i="4" s="1"/>
  <c r="N31" i="2"/>
  <c r="K31" i="2"/>
  <c r="J31" i="2"/>
  <c r="H31" i="2"/>
  <c r="I31" i="2" s="1"/>
  <c r="N30" i="2"/>
  <c r="B16" i="1" s="1"/>
  <c r="K30" i="2"/>
  <c r="J30" i="2"/>
  <c r="H30" i="2"/>
  <c r="I30" i="2" s="1"/>
  <c r="N29" i="2"/>
  <c r="J29" i="2"/>
  <c r="K29" i="2" s="1"/>
  <c r="H29" i="2"/>
  <c r="I29" i="2" s="1"/>
  <c r="N28" i="2"/>
  <c r="K28" i="2"/>
  <c r="J28" i="2"/>
  <c r="H28" i="2"/>
  <c r="I28" i="2" s="1"/>
  <c r="N27" i="2"/>
  <c r="K27" i="2"/>
  <c r="J27" i="2"/>
  <c r="I27" i="2"/>
  <c r="H27" i="2"/>
  <c r="N26" i="2"/>
  <c r="J26" i="2"/>
  <c r="K26" i="2" s="1"/>
  <c r="H26" i="2"/>
  <c r="I26" i="2" s="1"/>
  <c r="N25" i="2"/>
  <c r="J25" i="2"/>
  <c r="K25" i="2" s="1"/>
  <c r="H25" i="2"/>
  <c r="I25" i="2" s="1"/>
  <c r="N24" i="2"/>
  <c r="J24" i="2"/>
  <c r="K24" i="2" s="1"/>
  <c r="H24" i="2"/>
  <c r="I24" i="2" s="1"/>
  <c r="N23" i="2"/>
  <c r="J23" i="2"/>
  <c r="K23" i="2" s="1"/>
  <c r="H23" i="2"/>
  <c r="I23" i="2" s="1"/>
  <c r="N22" i="2"/>
  <c r="J22" i="2"/>
  <c r="K22" i="2" s="1"/>
  <c r="H22" i="2"/>
  <c r="I22" i="2" s="1"/>
  <c r="N21" i="2"/>
  <c r="J21" i="2"/>
  <c r="K21" i="2" s="1"/>
  <c r="H21" i="2"/>
  <c r="I21" i="2" s="1"/>
  <c r="N20" i="2"/>
  <c r="K20" i="2"/>
  <c r="J20" i="2"/>
  <c r="H20" i="2"/>
  <c r="I20" i="2" s="1"/>
  <c r="N19" i="2"/>
  <c r="J19" i="2"/>
  <c r="K19" i="2" s="1"/>
  <c r="H19" i="2"/>
  <c r="I19" i="2" s="1"/>
  <c r="N18" i="2"/>
  <c r="K18" i="2"/>
  <c r="J18" i="2"/>
  <c r="H18" i="2"/>
  <c r="I18" i="2" s="1"/>
  <c r="N17" i="2"/>
  <c r="J17" i="2"/>
  <c r="K17" i="2" s="1"/>
  <c r="H17" i="2"/>
  <c r="I17" i="2" s="1"/>
  <c r="N16" i="2"/>
  <c r="J16" i="2"/>
  <c r="K16" i="2" s="1"/>
  <c r="H16" i="2"/>
  <c r="I16" i="2" s="1"/>
  <c r="N15" i="2"/>
  <c r="J15" i="2"/>
  <c r="K15" i="2" s="1"/>
  <c r="H15" i="2"/>
  <c r="I15" i="2" s="1"/>
  <c r="N14" i="2"/>
  <c r="J14" i="2"/>
  <c r="K14" i="2" s="1"/>
  <c r="H14" i="2"/>
  <c r="I14" i="2" s="1"/>
  <c r="N13" i="2"/>
  <c r="K13" i="2"/>
  <c r="J13" i="2"/>
  <c r="H13" i="2"/>
  <c r="I13" i="2" s="1"/>
  <c r="N12" i="2"/>
  <c r="K12" i="2"/>
  <c r="J12" i="2"/>
  <c r="H12" i="2"/>
  <c r="I12" i="2" s="1"/>
  <c r="N11" i="2"/>
  <c r="K11" i="2"/>
  <c r="J11" i="2"/>
  <c r="H11" i="2"/>
  <c r="I11" i="2" s="1"/>
  <c r="N10" i="2"/>
  <c r="J10" i="2"/>
  <c r="K10" i="2" s="1"/>
  <c r="H10" i="2"/>
  <c r="I10" i="2" s="1"/>
  <c r="N9" i="2"/>
  <c r="J9" i="2"/>
  <c r="K9" i="2" s="1"/>
  <c r="H9" i="2"/>
  <c r="I9" i="2" s="1"/>
  <c r="N8" i="2"/>
  <c r="J8" i="2"/>
  <c r="K8" i="2" s="1"/>
  <c r="H8" i="2"/>
  <c r="I8" i="2" s="1"/>
  <c r="N7" i="2"/>
  <c r="K7" i="2"/>
  <c r="J7" i="2"/>
  <c r="H7" i="2"/>
  <c r="I7" i="2" s="1"/>
  <c r="N6" i="2"/>
  <c r="K6" i="2"/>
  <c r="J6" i="2"/>
  <c r="H6" i="2"/>
  <c r="I6" i="2" s="1"/>
  <c r="N5" i="2"/>
  <c r="K5" i="2"/>
  <c r="J5" i="2"/>
  <c r="H5" i="2"/>
  <c r="I5" i="2" s="1"/>
  <c r="N4" i="2"/>
  <c r="J4" i="2"/>
  <c r="K4" i="2" s="1"/>
  <c r="H4" i="2"/>
  <c r="I4" i="2" s="1"/>
  <c r="N3" i="2"/>
  <c r="K3" i="2"/>
  <c r="J3" i="2"/>
  <c r="H3" i="2"/>
  <c r="I3" i="2" s="1"/>
  <c r="N2" i="2"/>
  <c r="J2" i="2"/>
  <c r="K2" i="2" s="1"/>
  <c r="H2" i="2"/>
  <c r="I2" i="2" s="1"/>
  <c r="C9" i="1"/>
  <c r="C10" i="1" s="1"/>
  <c r="C11" i="1" s="1"/>
  <c r="B9" i="1"/>
  <c r="B17" i="1" s="1"/>
  <c r="B13" i="4" s="1"/>
  <c r="B8" i="1"/>
  <c r="C8" i="1" s="1"/>
  <c r="C5" i="1"/>
  <c r="C7" i="1" s="1"/>
  <c r="B5" i="1"/>
  <c r="B7" i="1" s="1"/>
  <c r="C4" i="1"/>
  <c r="C6" i="1" s="1"/>
  <c r="B4" i="1"/>
  <c r="B6" i="1" s="1"/>
  <c r="E6" i="3"/>
  <c r="C6" i="3"/>
  <c r="B6" i="3"/>
  <c r="D6" i="3" s="1"/>
  <c r="E5" i="3"/>
  <c r="C5" i="3"/>
  <c r="B5" i="3"/>
  <c r="D5" i="3" s="1"/>
  <c r="E4" i="3"/>
  <c r="C4" i="3"/>
  <c r="B4" i="3"/>
  <c r="D4" i="3" s="1"/>
  <c r="E3" i="3"/>
  <c r="C3" i="3"/>
  <c r="B3" i="3"/>
  <c r="D3" i="3" s="1"/>
  <c r="E2" i="3"/>
  <c r="C2" i="3"/>
  <c r="B2" i="3"/>
  <c r="D2" i="3" s="1"/>
  <c r="B13" i="1" l="1"/>
  <c r="C13" i="1" s="1"/>
  <c r="B12" i="1"/>
  <c r="C12" i="1"/>
</calcChain>
</file>

<file path=xl/sharedStrings.xml><?xml version="1.0" encoding="utf-8"?>
<sst xmlns="http://schemas.openxmlformats.org/spreadsheetml/2006/main" count="250" uniqueCount="139">
  <si>
    <t>KEY FINDINGS - Instamart vs Blinkit, Vizag, 23 Oct 2026, ~7pm (informal audit, 30 items)</t>
  </si>
  <si>
    <t>Metric</t>
  </si>
  <si>
    <t>Instamart</t>
  </si>
  <si>
    <t>Blinkit</t>
  </si>
  <si>
    <t>Items tested</t>
  </si>
  <si>
    <t>Items in stock</t>
  </si>
  <si>
    <t>Items unavailable (sold out or not listed)</t>
  </si>
  <si>
    <t>Availability rate</t>
  </si>
  <si>
    <t>Items in stock on BOTH apps</t>
  </si>
  <si>
    <t>Like-for-like basket (₹)</t>
  </si>
  <si>
    <t>Blinkit minus Instamart (₹)</t>
  </si>
  <si>
    <t>Difference as % of Instamart basket</t>
  </si>
  <si>
    <t>Items cheaper on this app</t>
  </si>
  <si>
    <t>Items with identical price (tie)</t>
  </si>
  <si>
    <t>Headline</t>
  </si>
  <si>
    <t>Items unavailable on at least one app</t>
  </si>
  <si>
    <t>Cheaper app on like-for-like items</t>
  </si>
  <si>
    <t>Read: prices are nearly identical on items both apps stock; the real difference is availability. Limits: one city, one time slot, 30 items, single run.</t>
  </si>
  <si>
    <t>No.</t>
  </si>
  <si>
    <t>Category</t>
  </si>
  <si>
    <t>Product</t>
  </si>
  <si>
    <t>Brand / Specification</t>
  </si>
  <si>
    <t>Required Quantity</t>
  </si>
  <si>
    <t>Instamart Price (₹)</t>
  </si>
  <si>
    <t>Blinkit Price (₹)</t>
  </si>
  <si>
    <t>Lowest Product Price (₹)</t>
  </si>
  <si>
    <t>Cheapest App</t>
  </si>
  <si>
    <t>Highest Product Price (₹)</t>
  </si>
  <si>
    <t>Price Gap (₹)</t>
  </si>
  <si>
    <t>Instamart Available?</t>
  </si>
  <si>
    <t>Blinkit Available?</t>
  </si>
  <si>
    <t>Stock Status</t>
  </si>
  <si>
    <t>Dairy, eggs &amp; bakery</t>
  </si>
  <si>
    <t>Milk</t>
  </si>
  <si>
    <t>Amul Taaza</t>
  </si>
  <si>
    <t>200 ml</t>
  </si>
  <si>
    <t>Yes</t>
  </si>
  <si>
    <t>Curd</t>
  </si>
  <si>
    <t>Amul Masti</t>
  </si>
  <si>
    <t>450 g</t>
  </si>
  <si>
    <t>No</t>
  </si>
  <si>
    <t>Eggs</t>
  </si>
  <si>
    <t>Any standard white eggs</t>
  </si>
  <si>
    <t>Pack of 6</t>
  </si>
  <si>
    <t>Bread</t>
  </si>
  <si>
    <t>fresh choice sandwich bread</t>
  </si>
  <si>
    <t>400 g</t>
  </si>
  <si>
    <t>Paneer</t>
  </si>
  <si>
    <t xml:space="preserve">Amul </t>
  </si>
  <si>
    <t>200 g</t>
  </si>
  <si>
    <t>Butter</t>
  </si>
  <si>
    <t>Amul</t>
  </si>
  <si>
    <t>100 g</t>
  </si>
  <si>
    <t>Cheese slices</t>
  </si>
  <si>
    <t>Pack of 10</t>
  </si>
  <si>
    <t>Fruits &amp; vegetables</t>
  </si>
  <si>
    <t>Tomatoes</t>
  </si>
  <si>
    <t>Any standard variety</t>
  </si>
  <si>
    <t>500 g</t>
  </si>
  <si>
    <t>Onions</t>
  </si>
  <si>
    <t>1 kg</t>
  </si>
  <si>
    <t>Potatoes</t>
  </si>
  <si>
    <t>Bananas</t>
  </si>
  <si>
    <t>4 pieces</t>
  </si>
  <si>
    <t>Apples</t>
  </si>
  <si>
    <t>Green chillies</t>
  </si>
  <si>
    <t>Lemons</t>
  </si>
  <si>
    <t>Pack of 4</t>
  </si>
  <si>
    <t>Staples &amp; cooking essentials</t>
  </si>
  <si>
    <t>Atta</t>
  </si>
  <si>
    <t xml:space="preserve">Aashirvaad </t>
  </si>
  <si>
    <t>Rice</t>
  </si>
  <si>
    <t xml:space="preserve">India Gate </t>
  </si>
  <si>
    <t>Sugar</t>
  </si>
  <si>
    <t>Madhur</t>
  </si>
  <si>
    <t>Salt</t>
  </si>
  <si>
    <t>Tata Salt</t>
  </si>
  <si>
    <t>Sunflower oil</t>
  </si>
  <si>
    <t>Fredom</t>
  </si>
  <si>
    <t>1 litre</t>
  </si>
  <si>
    <t>Toor dal</t>
  </si>
  <si>
    <t xml:space="preserve">Tata Sampann </t>
  </si>
  <si>
    <t>Snacks &amp; packaged food</t>
  </si>
  <si>
    <t>Maggi noodles</t>
  </si>
  <si>
    <t>Masala</t>
  </si>
  <si>
    <t>Pack of 2</t>
  </si>
  <si>
    <t>Potato chips</t>
  </si>
  <si>
    <t>Lay's Classic Salted</t>
  </si>
  <si>
    <t>50–55 g</t>
  </si>
  <si>
    <t>Biscuits</t>
  </si>
  <si>
    <t>Parle-G</t>
  </si>
  <si>
    <t>250 g</t>
  </si>
  <si>
    <t>Chocolate</t>
  </si>
  <si>
    <t>Cadbury Dairy Milk</t>
  </si>
  <si>
    <t>40–50 g</t>
  </si>
  <si>
    <t>Instant coffee</t>
  </si>
  <si>
    <t>Nescafé Classic</t>
  </si>
  <si>
    <t>45 g</t>
  </si>
  <si>
    <t>Oats</t>
  </si>
  <si>
    <t xml:space="preserve"> Saffola</t>
  </si>
  <si>
    <t>Household &amp; personal care</t>
  </si>
  <si>
    <t>Dishwash bar</t>
  </si>
  <si>
    <t>Vim</t>
  </si>
  <si>
    <t>275 g</t>
  </si>
  <si>
    <t>Laundry detergent powder</t>
  </si>
  <si>
    <t xml:space="preserve">Surf Excel </t>
  </si>
  <si>
    <t>Bathing soap</t>
  </si>
  <si>
    <t>Lux</t>
  </si>
  <si>
    <t>150 g</t>
  </si>
  <si>
    <t>Toothpaste</t>
  </si>
  <si>
    <t>Colgate Strong Teeth</t>
  </si>
  <si>
    <t>Note: Available = "No" means the exact item could not be added to cart (sold out or not listed). A price with "No" means the price was shown but the item was sold out. Lowest/Highest/Cheapest/Gap are calculated only for items in stock on BOTH apps.</t>
  </si>
  <si>
    <t>Pack sizes and variants were checked and are identical on both apps for every compared item.</t>
  </si>
  <si>
    <t>Curd: Instamart does not list the Amul Masti 450 g pouch in this area; the closest item (Amul Masti 1 kg tub, ₹110) was sold out. Counted as unavailable.</t>
  </si>
  <si>
    <t>Instamart Total (₹) - items in stock on both</t>
  </si>
  <si>
    <t>Blinkit Total (₹) - items in stock on both</t>
  </si>
  <si>
    <t>Cheapest Category App</t>
  </si>
  <si>
    <t>Items Compared</t>
  </si>
  <si>
    <t>Totals include only items in stock on both apps, so the two columns are directly comparable.</t>
  </si>
  <si>
    <t>INSTAMART vs BLINKIT — BASKET SUMMARY (Vizag audit)</t>
  </si>
  <si>
    <t>Prices and availability come from the Price Comparison sheet. Totals below count in-stock items only.</t>
  </si>
  <si>
    <t>Sum of prices of in-stock items (₹)</t>
  </si>
  <si>
    <t>Products with a price shown</t>
  </si>
  <si>
    <t>Products in stock (Available = Yes)</t>
  </si>
  <si>
    <t>Delivery fee (₹) — enter below</t>
  </si>
  <si>
    <t>Handling / platform fees (₹) — enter below</t>
  </si>
  <si>
    <t>Extra coupon applied (₹) - none; item discounts are already in the listed prices</t>
  </si>
  <si>
    <t>Final total for each app's own in-stock items (₹) - NOT like-for-like</t>
  </si>
  <si>
    <t>Data collection details</t>
  </si>
  <si>
    <t>City / delivery area</t>
  </si>
  <si>
    <t>vizag</t>
  </si>
  <si>
    <t>Date collected</t>
  </si>
  <si>
    <t>10-23-2026</t>
  </si>
  <si>
    <t>Approx. collection time</t>
  </si>
  <si>
    <t>Prices and availability recorded ~7pm; screenshots taken later (~8:42-9:59pm) as evidence</t>
  </si>
  <si>
    <t>Membership / coupon notes</t>
  </si>
  <si>
    <t>Instamart: Swiggy One (free delivery) + Maxxsaver shown in app. Blinkit: free delivery by order value, no coupon.</t>
  </si>
  <si>
    <t>Notes</t>
  </si>
  <si>
    <t>Price with Available = No means shown but out of stock. Blinkit checkout (screenshot) showed items total ₹2,409 (saved ₹344 vs MRP), which equals the sheet total, so the ₹344 is an item-level discount already in the prices, not a coupon. Row 11 compares different baskets; use Key Findings for like-for-like.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</si>
</sst>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0"/>
    <numFmt numFmtId="165" formatCode="0.0%"/>
    <numFmt numFmtId="166" formatCode="\₹#,##0.0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6"/>
      <color rgb="FFFFFFFF"/>
      <name val="Calibri"/>
      <charset val="1"/>
    </font>
    <font>
      <b/>
      <sz val="1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8E7"/>
        <bgColor rgb="FFF3F6FA"/>
      </patternFill>
    </fill>
    <fill>
      <patternFill patternType="solid">
        <fgColor rgb="FFF3F6FA"/>
        <bgColor rgb="FFFFF8E7"/>
      </patternFill>
    </fill>
    <fill>
      <patternFill patternType="solid">
        <fgColor rgb="FFFFF2CC"/>
        <bgColor rgb="FFFFF8E7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top" wrapText="1"/>
    </xf>
    <xf numFmtId="0" fontId="3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3" borderId="1" xfId="0" applyNumberForma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66" fontId="0" fillId="5" borderId="1" xfId="0" applyNumberForma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E2F0D9"/>
      <rgbColor rgb="FFFFF8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zoomScaleNormal="100" workbookViewId="0">
      <selection sqref="A1:C1"/>
    </sheetView>
  </sheetViews>
  <sheetFormatPr defaultColWidth="8.6328125" defaultRowHeight="14.5" x14ac:dyDescent="0.35"/>
  <cols>
    <col min="1" max="1" width="46" customWidth="1"/>
    <col min="2" max="3" width="16" customWidth="1"/>
  </cols>
  <sheetData>
    <row r="1" spans="1:3" ht="15" customHeight="1" x14ac:dyDescent="0.35">
      <c r="A1" s="6" t="s">
        <v>0</v>
      </c>
      <c r="B1" s="6"/>
      <c r="C1" s="6"/>
    </row>
    <row r="3" spans="1:3" ht="15" customHeight="1" x14ac:dyDescent="0.35">
      <c r="A3" s="7" t="s">
        <v>1</v>
      </c>
      <c r="B3" s="7" t="s">
        <v>2</v>
      </c>
      <c r="C3" s="7" t="s">
        <v>3</v>
      </c>
    </row>
    <row r="4" spans="1:3" ht="15" customHeight="1" x14ac:dyDescent="0.35">
      <c r="A4" s="8" t="s">
        <v>4</v>
      </c>
      <c r="B4" s="8">
        <f>COUNTA('Price Comparison'!C2:C31)</f>
        <v>30</v>
      </c>
      <c r="C4" s="8">
        <f>COUNTA('Price Comparison'!C2:C31)</f>
        <v>30</v>
      </c>
    </row>
    <row r="5" spans="1:3" ht="15" customHeight="1" x14ac:dyDescent="0.35">
      <c r="A5" s="8" t="s">
        <v>5</v>
      </c>
      <c r="B5" s="8">
        <f>COUNTIF('Price Comparison'!L2:L31,"Yes")</f>
        <v>18</v>
      </c>
      <c r="C5" s="8">
        <f>COUNTIF('Price Comparison'!M2:M31,"Yes")</f>
        <v>29</v>
      </c>
    </row>
    <row r="6" spans="1:3" ht="15" customHeight="1" x14ac:dyDescent="0.35">
      <c r="A6" s="8" t="s">
        <v>6</v>
      </c>
      <c r="B6" s="8">
        <f>B4-B5</f>
        <v>12</v>
      </c>
      <c r="C6" s="8">
        <f>C4-C5</f>
        <v>1</v>
      </c>
    </row>
    <row r="7" spans="1:3" ht="15" customHeight="1" x14ac:dyDescent="0.35">
      <c r="A7" s="8" t="s">
        <v>7</v>
      </c>
      <c r="B7" s="9">
        <f>B5/B4</f>
        <v>0.6</v>
      </c>
      <c r="C7" s="9">
        <f>C5/C4</f>
        <v>0.96666666666666667</v>
      </c>
    </row>
    <row r="8" spans="1:3" ht="15" customHeight="1" x14ac:dyDescent="0.35">
      <c r="A8" s="8" t="s">
        <v>8</v>
      </c>
      <c r="B8" s="8">
        <f>COUNTIFS('Price Comparison'!L2:L31,"Yes",'Price Comparison'!M2:M31,"Yes")</f>
        <v>18</v>
      </c>
      <c r="C8" s="8">
        <f>B8</f>
        <v>18</v>
      </c>
    </row>
    <row r="9" spans="1:3" ht="15" customHeight="1" x14ac:dyDescent="0.35">
      <c r="A9" s="8" t="s">
        <v>9</v>
      </c>
      <c r="B9" s="10">
        <f>SUMIFS('Price Comparison'!F2:F31,'Price Comparison'!L2:L31,"Yes",'Price Comparison'!M2:M31,"Yes")</f>
        <v>1453</v>
      </c>
      <c r="C9" s="10">
        <f>SUMIFS('Price Comparison'!G2:G31,'Price Comparison'!L2:L31,"Yes",'Price Comparison'!M2:M31,"Yes")</f>
        <v>1444</v>
      </c>
    </row>
    <row r="10" spans="1:3" ht="15" customHeight="1" x14ac:dyDescent="0.35">
      <c r="A10" s="8" t="s">
        <v>10</v>
      </c>
      <c r="B10" s="11"/>
      <c r="C10" s="11">
        <f>C9-B9</f>
        <v>-9</v>
      </c>
    </row>
    <row r="11" spans="1:3" ht="15" customHeight="1" x14ac:dyDescent="0.35">
      <c r="A11" s="8" t="s">
        <v>11</v>
      </c>
      <c r="B11" s="12"/>
      <c r="C11" s="12">
        <f>C10/B9</f>
        <v>-6.1940812112869928E-3</v>
      </c>
    </row>
    <row r="12" spans="1:3" ht="15" customHeight="1" x14ac:dyDescent="0.35">
      <c r="A12" s="8" t="s">
        <v>12</v>
      </c>
      <c r="B12" s="8">
        <f>COUNTIF('Price Comparison'!I2:I31,"Instamart")</f>
        <v>6</v>
      </c>
      <c r="C12" s="8">
        <f>COUNTIF('Price Comparison'!I2:I31,"Blinkit")</f>
        <v>6</v>
      </c>
    </row>
    <row r="13" spans="1:3" ht="15" customHeight="1" x14ac:dyDescent="0.35">
      <c r="A13" s="8" t="s">
        <v>13</v>
      </c>
      <c r="B13" s="8">
        <f>COUNTIF('Price Comparison'!I2:I31,"Tie")</f>
        <v>6</v>
      </c>
      <c r="C13" s="8">
        <f>B13</f>
        <v>6</v>
      </c>
    </row>
    <row r="15" spans="1:3" ht="15" customHeight="1" x14ac:dyDescent="0.35">
      <c r="A15" s="6" t="s">
        <v>14</v>
      </c>
      <c r="B15" s="6"/>
      <c r="C15" s="6"/>
    </row>
    <row r="16" spans="1:3" ht="15" customHeight="1" x14ac:dyDescent="0.35">
      <c r="A16" s="8" t="s">
        <v>15</v>
      </c>
      <c r="B16" s="8">
        <f>COUNTIF('Price Comparison'!N2:N31,"&lt;&gt;In stock on both")</f>
        <v>12</v>
      </c>
    </row>
    <row r="17" spans="1:3" ht="15" customHeight="1" x14ac:dyDescent="0.35">
      <c r="A17" s="8" t="s">
        <v>16</v>
      </c>
      <c r="B17" s="8" t="str">
        <f>IF(B9=C9,"Tie",IF(B9&lt;C9,"Instamart","Blinkit"))</f>
        <v>Blinkit</v>
      </c>
    </row>
    <row r="19" spans="1:3" ht="15" customHeight="1" x14ac:dyDescent="0.35">
      <c r="A19" s="5" t="s">
        <v>17</v>
      </c>
      <c r="B19" s="5"/>
      <c r="C19" s="5"/>
    </row>
    <row r="20" spans="1:3" ht="15" customHeight="1" x14ac:dyDescent="0.35">
      <c r="A20" s="5"/>
      <c r="B20" s="5"/>
      <c r="C20" s="5"/>
    </row>
    <row r="21" spans="1:3" ht="15" customHeight="1" x14ac:dyDescent="0.35">
      <c r="A21" s="5"/>
      <c r="B21" s="5"/>
      <c r="C21" s="5"/>
    </row>
  </sheetData>
  <mergeCells count="3">
    <mergeCell ref="A1:C1"/>
    <mergeCell ref="A15:C15"/>
    <mergeCell ref="A19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7"/>
  <sheetViews>
    <sheetView showGridLines="0" topLeftCell="E1" zoomScaleNormal="100" workbookViewId="0">
      <pane ySplit="1" topLeftCell="A8" activePane="bottomLeft" state="frozen"/>
      <selection activeCell="E1" sqref="E1"/>
      <selection pane="bottomLeft" activeCell="H1" sqref="H1"/>
    </sheetView>
  </sheetViews>
  <sheetFormatPr defaultColWidth="8.6328125" defaultRowHeight="14.5" x14ac:dyDescent="0.35"/>
  <cols>
    <col min="1" max="1" width="7" customWidth="1"/>
    <col min="2" max="2" width="28" customWidth="1"/>
    <col min="3" max="3" width="25" customWidth="1"/>
    <col min="4" max="4" width="34" customWidth="1"/>
    <col min="5" max="5" width="18" customWidth="1"/>
    <col min="6" max="6" width="19" customWidth="1"/>
    <col min="7" max="7" width="17" customWidth="1"/>
    <col min="8" max="8" width="21" customWidth="1"/>
    <col min="9" max="9" width="17" customWidth="1"/>
    <col min="10" max="10" width="22" customWidth="1"/>
    <col min="11" max="11" width="15" customWidth="1"/>
    <col min="12" max="12" width="20" customWidth="1"/>
    <col min="13" max="13" width="18" customWidth="1"/>
    <col min="14" max="14" width="26" customWidth="1"/>
  </cols>
  <sheetData>
    <row r="1" spans="1:14" ht="43.5" customHeight="1" x14ac:dyDescent="0.3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</row>
    <row r="2" spans="1:14" ht="31.5" customHeight="1" x14ac:dyDescent="0.35">
      <c r="A2" s="8">
        <v>1</v>
      </c>
      <c r="B2" s="8" t="s">
        <v>32</v>
      </c>
      <c r="C2" s="8" t="s">
        <v>33</v>
      </c>
      <c r="D2" s="8" t="s">
        <v>34</v>
      </c>
      <c r="E2" s="8" t="s">
        <v>35</v>
      </c>
      <c r="F2" s="13">
        <v>16</v>
      </c>
      <c r="G2" s="13">
        <v>17</v>
      </c>
      <c r="H2" s="14">
        <f t="shared" ref="H2:H31" si="0">IF(AND(L2="Yes",M2="Yes"),MIN(F2:G2),"")</f>
        <v>16</v>
      </c>
      <c r="I2" s="14" t="str">
        <f t="shared" ref="I2:I31" si="1">IF(H2="","",IF(F2=G2,"Tie",IF(F2=H2,"Instamart","Blinkit")))</f>
        <v>Instamart</v>
      </c>
      <c r="J2" s="14">
        <f t="shared" ref="J2:J31" si="2">IF(AND(L2="Yes",M2="Yes"),MAX(F2:G2),"")</f>
        <v>17</v>
      </c>
      <c r="K2" s="14">
        <f t="shared" ref="K2:K31" si="3">IF(AND(L2="Yes",M2="Yes"),J2-H2,"")</f>
        <v>1</v>
      </c>
      <c r="L2" s="8" t="s">
        <v>36</v>
      </c>
      <c r="M2" s="8" t="s">
        <v>36</v>
      </c>
      <c r="N2" s="14" t="str">
        <f t="shared" ref="N2:N31" si="4">IF(AND(L2="Yes",M2="Yes"),"In stock on both",IF(AND(L2="No",M2="No"),"Unavailable on both",IF(L2="No","Unavailable on Instamart","Unavailable on Blinkit")))</f>
        <v>In stock on both</v>
      </c>
    </row>
    <row r="3" spans="1:14" ht="31.5" customHeight="1" x14ac:dyDescent="0.35">
      <c r="A3" s="8">
        <v>2</v>
      </c>
      <c r="B3" s="8" t="s">
        <v>32</v>
      </c>
      <c r="C3" s="8" t="s">
        <v>37</v>
      </c>
      <c r="D3" s="8" t="s">
        <v>38</v>
      </c>
      <c r="E3" s="8" t="s">
        <v>39</v>
      </c>
      <c r="F3" s="13"/>
      <c r="G3" s="13">
        <v>33</v>
      </c>
      <c r="H3" s="14" t="str">
        <f t="shared" si="0"/>
        <v/>
      </c>
      <c r="I3" s="14" t="str">
        <f t="shared" si="1"/>
        <v/>
      </c>
      <c r="J3" s="14" t="str">
        <f t="shared" si="2"/>
        <v/>
      </c>
      <c r="K3" s="14" t="str">
        <f t="shared" si="3"/>
        <v/>
      </c>
      <c r="L3" s="8" t="s">
        <v>40</v>
      </c>
      <c r="M3" s="8" t="s">
        <v>36</v>
      </c>
      <c r="N3" s="14" t="str">
        <f t="shared" si="4"/>
        <v>Unavailable on Instamart</v>
      </c>
    </row>
    <row r="4" spans="1:14" ht="31.5" customHeight="1" x14ac:dyDescent="0.35">
      <c r="A4" s="8">
        <v>3</v>
      </c>
      <c r="B4" s="8" t="s">
        <v>32</v>
      </c>
      <c r="C4" s="8" t="s">
        <v>41</v>
      </c>
      <c r="D4" s="8" t="s">
        <v>42</v>
      </c>
      <c r="E4" s="8" t="s">
        <v>43</v>
      </c>
      <c r="F4" s="13">
        <v>50</v>
      </c>
      <c r="G4" s="13">
        <v>56</v>
      </c>
      <c r="H4" s="14">
        <f t="shared" si="0"/>
        <v>50</v>
      </c>
      <c r="I4" s="14" t="str">
        <f t="shared" si="1"/>
        <v>Instamart</v>
      </c>
      <c r="J4" s="14">
        <f t="shared" si="2"/>
        <v>56</v>
      </c>
      <c r="K4" s="14">
        <f t="shared" si="3"/>
        <v>6</v>
      </c>
      <c r="L4" s="8" t="s">
        <v>36</v>
      </c>
      <c r="M4" s="8" t="s">
        <v>36</v>
      </c>
      <c r="N4" s="14" t="str">
        <f t="shared" si="4"/>
        <v>In stock on both</v>
      </c>
    </row>
    <row r="5" spans="1:14" ht="31.5" customHeight="1" x14ac:dyDescent="0.35">
      <c r="A5" s="8">
        <v>4</v>
      </c>
      <c r="B5" s="8" t="s">
        <v>32</v>
      </c>
      <c r="C5" s="8" t="s">
        <v>44</v>
      </c>
      <c r="D5" s="8" t="s">
        <v>45</v>
      </c>
      <c r="E5" s="8" t="s">
        <v>46</v>
      </c>
      <c r="F5" s="13"/>
      <c r="G5" s="13">
        <v>60</v>
      </c>
      <c r="H5" s="14" t="str">
        <f t="shared" si="0"/>
        <v/>
      </c>
      <c r="I5" s="14" t="str">
        <f t="shared" si="1"/>
        <v/>
      </c>
      <c r="J5" s="14" t="str">
        <f t="shared" si="2"/>
        <v/>
      </c>
      <c r="K5" s="14" t="str">
        <f t="shared" si="3"/>
        <v/>
      </c>
      <c r="L5" s="8" t="s">
        <v>40</v>
      </c>
      <c r="M5" s="8" t="s">
        <v>36</v>
      </c>
      <c r="N5" s="14" t="str">
        <f t="shared" si="4"/>
        <v>Unavailable on Instamart</v>
      </c>
    </row>
    <row r="6" spans="1:14" ht="31.5" customHeight="1" x14ac:dyDescent="0.35">
      <c r="A6" s="8">
        <v>5</v>
      </c>
      <c r="B6" s="8" t="s">
        <v>32</v>
      </c>
      <c r="C6" s="8" t="s">
        <v>47</v>
      </c>
      <c r="D6" s="8" t="s">
        <v>48</v>
      </c>
      <c r="E6" s="8" t="s">
        <v>49</v>
      </c>
      <c r="F6" s="13"/>
      <c r="G6" s="13">
        <v>105</v>
      </c>
      <c r="H6" s="14" t="str">
        <f t="shared" si="0"/>
        <v/>
      </c>
      <c r="I6" s="14" t="str">
        <f t="shared" si="1"/>
        <v/>
      </c>
      <c r="J6" s="14" t="str">
        <f t="shared" si="2"/>
        <v/>
      </c>
      <c r="K6" s="14" t="str">
        <f t="shared" si="3"/>
        <v/>
      </c>
      <c r="L6" s="8" t="s">
        <v>40</v>
      </c>
      <c r="M6" s="8" t="s">
        <v>36</v>
      </c>
      <c r="N6" s="14" t="str">
        <f t="shared" si="4"/>
        <v>Unavailable on Instamart</v>
      </c>
    </row>
    <row r="7" spans="1:14" ht="31.5" customHeight="1" x14ac:dyDescent="0.35">
      <c r="A7" s="8">
        <v>6</v>
      </c>
      <c r="B7" s="8" t="s">
        <v>32</v>
      </c>
      <c r="C7" s="8" t="s">
        <v>50</v>
      </c>
      <c r="D7" s="8" t="s">
        <v>51</v>
      </c>
      <c r="E7" s="8" t="s">
        <v>52</v>
      </c>
      <c r="F7" s="13">
        <v>63</v>
      </c>
      <c r="G7" s="13">
        <v>63</v>
      </c>
      <c r="H7" s="14" t="str">
        <f t="shared" si="0"/>
        <v/>
      </c>
      <c r="I7" s="14" t="str">
        <f t="shared" si="1"/>
        <v/>
      </c>
      <c r="J7" s="14" t="str">
        <f t="shared" si="2"/>
        <v/>
      </c>
      <c r="K7" s="14" t="str">
        <f t="shared" si="3"/>
        <v/>
      </c>
      <c r="L7" s="8" t="s">
        <v>40</v>
      </c>
      <c r="M7" s="8" t="s">
        <v>36</v>
      </c>
      <c r="N7" s="14" t="str">
        <f t="shared" si="4"/>
        <v>Unavailable on Instamart</v>
      </c>
    </row>
    <row r="8" spans="1:14" ht="31.5" customHeight="1" x14ac:dyDescent="0.35">
      <c r="A8" s="8">
        <v>7</v>
      </c>
      <c r="B8" s="8" t="s">
        <v>32</v>
      </c>
      <c r="C8" s="8" t="s">
        <v>53</v>
      </c>
      <c r="D8" s="8" t="s">
        <v>51</v>
      </c>
      <c r="E8" s="8" t="s">
        <v>54</v>
      </c>
      <c r="F8" s="13">
        <v>145</v>
      </c>
      <c r="G8" s="13">
        <v>115</v>
      </c>
      <c r="H8" s="14">
        <f t="shared" si="0"/>
        <v>115</v>
      </c>
      <c r="I8" s="14" t="str">
        <f t="shared" si="1"/>
        <v>Blinkit</v>
      </c>
      <c r="J8" s="14">
        <f t="shared" si="2"/>
        <v>145</v>
      </c>
      <c r="K8" s="14">
        <f t="shared" si="3"/>
        <v>30</v>
      </c>
      <c r="L8" s="8" t="s">
        <v>36</v>
      </c>
      <c r="M8" s="8" t="s">
        <v>36</v>
      </c>
      <c r="N8" s="14" t="str">
        <f t="shared" si="4"/>
        <v>In stock on both</v>
      </c>
    </row>
    <row r="9" spans="1:14" ht="31.5" customHeight="1" x14ac:dyDescent="0.35">
      <c r="A9" s="8">
        <v>8</v>
      </c>
      <c r="B9" s="8" t="s">
        <v>55</v>
      </c>
      <c r="C9" s="8" t="s">
        <v>56</v>
      </c>
      <c r="D9" s="8" t="s">
        <v>57</v>
      </c>
      <c r="E9" s="8" t="s">
        <v>58</v>
      </c>
      <c r="F9" s="13">
        <v>29</v>
      </c>
      <c r="G9" s="13">
        <v>27</v>
      </c>
      <c r="H9" s="14">
        <f t="shared" si="0"/>
        <v>27</v>
      </c>
      <c r="I9" s="14" t="str">
        <f t="shared" si="1"/>
        <v>Blinkit</v>
      </c>
      <c r="J9" s="14">
        <f t="shared" si="2"/>
        <v>29</v>
      </c>
      <c r="K9" s="14">
        <f t="shared" si="3"/>
        <v>2</v>
      </c>
      <c r="L9" s="8" t="s">
        <v>36</v>
      </c>
      <c r="M9" s="8" t="s">
        <v>36</v>
      </c>
      <c r="N9" s="14" t="str">
        <f t="shared" si="4"/>
        <v>In stock on both</v>
      </c>
    </row>
    <row r="10" spans="1:14" ht="31.5" customHeight="1" x14ac:dyDescent="0.35">
      <c r="A10" s="8">
        <v>9</v>
      </c>
      <c r="B10" s="8" t="s">
        <v>55</v>
      </c>
      <c r="C10" s="8" t="s">
        <v>59</v>
      </c>
      <c r="D10" s="8" t="s">
        <v>57</v>
      </c>
      <c r="E10" s="8" t="s">
        <v>60</v>
      </c>
      <c r="F10" s="13">
        <v>69</v>
      </c>
      <c r="G10" s="13">
        <v>69</v>
      </c>
      <c r="H10" s="14">
        <f t="shared" si="0"/>
        <v>69</v>
      </c>
      <c r="I10" s="14" t="str">
        <f t="shared" si="1"/>
        <v>Tie</v>
      </c>
      <c r="J10" s="14">
        <f t="shared" si="2"/>
        <v>69</v>
      </c>
      <c r="K10" s="14">
        <f t="shared" si="3"/>
        <v>0</v>
      </c>
      <c r="L10" s="8" t="s">
        <v>36</v>
      </c>
      <c r="M10" s="8" t="s">
        <v>36</v>
      </c>
      <c r="N10" s="14" t="str">
        <f t="shared" si="4"/>
        <v>In stock on both</v>
      </c>
    </row>
    <row r="11" spans="1:14" ht="31.5" customHeight="1" x14ac:dyDescent="0.35">
      <c r="A11" s="8">
        <v>10</v>
      </c>
      <c r="B11" s="8" t="s">
        <v>55</v>
      </c>
      <c r="C11" s="8" t="s">
        <v>61</v>
      </c>
      <c r="D11" s="8" t="s">
        <v>57</v>
      </c>
      <c r="E11" s="8" t="s">
        <v>60</v>
      </c>
      <c r="F11" s="13">
        <v>47</v>
      </c>
      <c r="G11" s="13">
        <v>27</v>
      </c>
      <c r="H11" s="14" t="str">
        <f t="shared" si="0"/>
        <v/>
      </c>
      <c r="I11" s="14" t="str">
        <f t="shared" si="1"/>
        <v/>
      </c>
      <c r="J11" s="14" t="str">
        <f t="shared" si="2"/>
        <v/>
      </c>
      <c r="K11" s="14" t="str">
        <f t="shared" si="3"/>
        <v/>
      </c>
      <c r="L11" s="8" t="s">
        <v>40</v>
      </c>
      <c r="M11" s="8" t="s">
        <v>36</v>
      </c>
      <c r="N11" s="14" t="str">
        <f t="shared" si="4"/>
        <v>Unavailable on Instamart</v>
      </c>
    </row>
    <row r="12" spans="1:14" ht="31.5" customHeight="1" x14ac:dyDescent="0.35">
      <c r="A12" s="8">
        <v>11</v>
      </c>
      <c r="B12" s="8" t="s">
        <v>55</v>
      </c>
      <c r="C12" s="8" t="s">
        <v>62</v>
      </c>
      <c r="D12" s="8" t="s">
        <v>57</v>
      </c>
      <c r="E12" s="8" t="s">
        <v>63</v>
      </c>
      <c r="F12" s="13">
        <v>58</v>
      </c>
      <c r="G12" s="13">
        <v>39</v>
      </c>
      <c r="H12" s="14" t="str">
        <f t="shared" si="0"/>
        <v/>
      </c>
      <c r="I12" s="14" t="str">
        <f t="shared" si="1"/>
        <v/>
      </c>
      <c r="J12" s="14" t="str">
        <f t="shared" si="2"/>
        <v/>
      </c>
      <c r="K12" s="14" t="str">
        <f t="shared" si="3"/>
        <v/>
      </c>
      <c r="L12" s="8" t="s">
        <v>40</v>
      </c>
      <c r="M12" s="8" t="s">
        <v>36</v>
      </c>
      <c r="N12" s="14" t="str">
        <f t="shared" si="4"/>
        <v>Unavailable on Instamart</v>
      </c>
    </row>
    <row r="13" spans="1:14" ht="31.5" customHeight="1" x14ac:dyDescent="0.35">
      <c r="A13" s="8">
        <v>12</v>
      </c>
      <c r="B13" s="8" t="s">
        <v>55</v>
      </c>
      <c r="C13" s="8" t="s">
        <v>64</v>
      </c>
      <c r="D13" s="8" t="s">
        <v>57</v>
      </c>
      <c r="E13" s="8" t="s">
        <v>63</v>
      </c>
      <c r="F13" s="13"/>
      <c r="G13" s="13">
        <v>162</v>
      </c>
      <c r="H13" s="14" t="str">
        <f t="shared" si="0"/>
        <v/>
      </c>
      <c r="I13" s="14" t="str">
        <f t="shared" si="1"/>
        <v/>
      </c>
      <c r="J13" s="14" t="str">
        <f t="shared" si="2"/>
        <v/>
      </c>
      <c r="K13" s="14" t="str">
        <f t="shared" si="3"/>
        <v/>
      </c>
      <c r="L13" s="8" t="s">
        <v>40</v>
      </c>
      <c r="M13" s="8" t="s">
        <v>36</v>
      </c>
      <c r="N13" s="14" t="str">
        <f t="shared" si="4"/>
        <v>Unavailable on Instamart</v>
      </c>
    </row>
    <row r="14" spans="1:14" ht="31.5" customHeight="1" x14ac:dyDescent="0.35">
      <c r="A14" s="8">
        <v>13</v>
      </c>
      <c r="B14" s="8" t="s">
        <v>55</v>
      </c>
      <c r="C14" s="8" t="s">
        <v>65</v>
      </c>
      <c r="D14" s="8" t="s">
        <v>57</v>
      </c>
      <c r="E14" s="8" t="s">
        <v>52</v>
      </c>
      <c r="F14" s="13">
        <v>12</v>
      </c>
      <c r="G14" s="13">
        <v>16</v>
      </c>
      <c r="H14" s="14">
        <f t="shared" si="0"/>
        <v>12</v>
      </c>
      <c r="I14" s="14" t="str">
        <f t="shared" si="1"/>
        <v>Instamart</v>
      </c>
      <c r="J14" s="14">
        <f t="shared" si="2"/>
        <v>16</v>
      </c>
      <c r="K14" s="14">
        <f t="shared" si="3"/>
        <v>4</v>
      </c>
      <c r="L14" s="8" t="s">
        <v>36</v>
      </c>
      <c r="M14" s="8" t="s">
        <v>36</v>
      </c>
      <c r="N14" s="14" t="str">
        <f t="shared" si="4"/>
        <v>In stock on both</v>
      </c>
    </row>
    <row r="15" spans="1:14" ht="31.5" customHeight="1" x14ac:dyDescent="0.35">
      <c r="A15" s="8">
        <v>14</v>
      </c>
      <c r="B15" s="8" t="s">
        <v>55</v>
      </c>
      <c r="C15" s="8" t="s">
        <v>66</v>
      </c>
      <c r="D15" s="8" t="s">
        <v>57</v>
      </c>
      <c r="E15" s="8" t="s">
        <v>67</v>
      </c>
      <c r="F15" s="13">
        <v>48</v>
      </c>
      <c r="G15" s="13">
        <v>38</v>
      </c>
      <c r="H15" s="14">
        <f t="shared" si="0"/>
        <v>38</v>
      </c>
      <c r="I15" s="14" t="str">
        <f t="shared" si="1"/>
        <v>Blinkit</v>
      </c>
      <c r="J15" s="14">
        <f t="shared" si="2"/>
        <v>48</v>
      </c>
      <c r="K15" s="14">
        <f t="shared" si="3"/>
        <v>10</v>
      </c>
      <c r="L15" s="8" t="s">
        <v>36</v>
      </c>
      <c r="M15" s="8" t="s">
        <v>36</v>
      </c>
      <c r="N15" s="14" t="str">
        <f t="shared" si="4"/>
        <v>In stock on both</v>
      </c>
    </row>
    <row r="16" spans="1:14" ht="31.5" customHeight="1" x14ac:dyDescent="0.35">
      <c r="A16" s="8">
        <v>15</v>
      </c>
      <c r="B16" s="8" t="s">
        <v>68</v>
      </c>
      <c r="C16" s="8" t="s">
        <v>69</v>
      </c>
      <c r="D16" s="8" t="s">
        <v>70</v>
      </c>
      <c r="E16" s="8" t="s">
        <v>60</v>
      </c>
      <c r="F16" s="13">
        <v>66</v>
      </c>
      <c r="G16" s="13">
        <v>63</v>
      </c>
      <c r="H16" s="14">
        <f t="shared" si="0"/>
        <v>63</v>
      </c>
      <c r="I16" s="14" t="str">
        <f t="shared" si="1"/>
        <v>Blinkit</v>
      </c>
      <c r="J16" s="14">
        <f t="shared" si="2"/>
        <v>66</v>
      </c>
      <c r="K16" s="14">
        <f t="shared" si="3"/>
        <v>3</v>
      </c>
      <c r="L16" s="8" t="s">
        <v>36</v>
      </c>
      <c r="M16" s="8" t="s">
        <v>36</v>
      </c>
      <c r="N16" s="14" t="str">
        <f t="shared" si="4"/>
        <v>In stock on both</v>
      </c>
    </row>
    <row r="17" spans="1:14" ht="31.5" customHeight="1" x14ac:dyDescent="0.35">
      <c r="A17" s="8">
        <v>16</v>
      </c>
      <c r="B17" s="8" t="s">
        <v>68</v>
      </c>
      <c r="C17" s="8" t="s">
        <v>71</v>
      </c>
      <c r="D17" s="8" t="s">
        <v>72</v>
      </c>
      <c r="E17" s="8" t="s">
        <v>60</v>
      </c>
      <c r="F17" s="13">
        <v>150</v>
      </c>
      <c r="G17" s="13">
        <v>150</v>
      </c>
      <c r="H17" s="14">
        <f t="shared" si="0"/>
        <v>150</v>
      </c>
      <c r="I17" s="14" t="str">
        <f t="shared" si="1"/>
        <v>Tie</v>
      </c>
      <c r="J17" s="14">
        <f t="shared" si="2"/>
        <v>150</v>
      </c>
      <c r="K17" s="14">
        <f t="shared" si="3"/>
        <v>0</v>
      </c>
      <c r="L17" s="8" t="s">
        <v>36</v>
      </c>
      <c r="M17" s="8" t="s">
        <v>36</v>
      </c>
      <c r="N17" s="14" t="str">
        <f t="shared" si="4"/>
        <v>In stock on both</v>
      </c>
    </row>
    <row r="18" spans="1:14" ht="31.5" customHeight="1" x14ac:dyDescent="0.35">
      <c r="A18" s="8">
        <v>17</v>
      </c>
      <c r="B18" s="8" t="s">
        <v>68</v>
      </c>
      <c r="C18" s="8" t="s">
        <v>73</v>
      </c>
      <c r="D18" s="8" t="s">
        <v>74</v>
      </c>
      <c r="E18" s="8" t="s">
        <v>60</v>
      </c>
      <c r="F18" s="13">
        <v>62</v>
      </c>
      <c r="G18" s="13">
        <v>65</v>
      </c>
      <c r="H18" s="14" t="str">
        <f t="shared" si="0"/>
        <v/>
      </c>
      <c r="I18" s="14" t="str">
        <f t="shared" si="1"/>
        <v/>
      </c>
      <c r="J18" s="14" t="str">
        <f t="shared" si="2"/>
        <v/>
      </c>
      <c r="K18" s="14" t="str">
        <f t="shared" si="3"/>
        <v/>
      </c>
      <c r="L18" s="8" t="s">
        <v>40</v>
      </c>
      <c r="M18" s="8" t="s">
        <v>40</v>
      </c>
      <c r="N18" s="14" t="str">
        <f t="shared" si="4"/>
        <v>Unavailable on both</v>
      </c>
    </row>
    <row r="19" spans="1:14" ht="31.5" customHeight="1" x14ac:dyDescent="0.35">
      <c r="A19" s="8">
        <v>18</v>
      </c>
      <c r="B19" s="8" t="s">
        <v>68</v>
      </c>
      <c r="C19" s="8" t="s">
        <v>75</v>
      </c>
      <c r="D19" s="8" t="s">
        <v>76</v>
      </c>
      <c r="E19" s="8" t="s">
        <v>60</v>
      </c>
      <c r="F19" s="13">
        <v>29</v>
      </c>
      <c r="G19" s="13">
        <v>29</v>
      </c>
      <c r="H19" s="14">
        <f t="shared" si="0"/>
        <v>29</v>
      </c>
      <c r="I19" s="14" t="str">
        <f t="shared" si="1"/>
        <v>Tie</v>
      </c>
      <c r="J19" s="14">
        <f t="shared" si="2"/>
        <v>29</v>
      </c>
      <c r="K19" s="14">
        <f t="shared" si="3"/>
        <v>0</v>
      </c>
      <c r="L19" s="8" t="s">
        <v>36</v>
      </c>
      <c r="M19" s="8" t="s">
        <v>36</v>
      </c>
      <c r="N19" s="14" t="str">
        <f t="shared" si="4"/>
        <v>In stock on both</v>
      </c>
    </row>
    <row r="20" spans="1:14" ht="31.5" customHeight="1" x14ac:dyDescent="0.35">
      <c r="A20" s="8">
        <v>19</v>
      </c>
      <c r="B20" s="8" t="s">
        <v>68</v>
      </c>
      <c r="C20" s="8" t="s">
        <v>77</v>
      </c>
      <c r="D20" s="8" t="s">
        <v>78</v>
      </c>
      <c r="E20" s="8" t="s">
        <v>79</v>
      </c>
      <c r="F20" s="13">
        <v>169</v>
      </c>
      <c r="G20" s="13">
        <v>173</v>
      </c>
      <c r="H20" s="14">
        <f t="shared" si="0"/>
        <v>169</v>
      </c>
      <c r="I20" s="14" t="str">
        <f t="shared" si="1"/>
        <v>Instamart</v>
      </c>
      <c r="J20" s="14">
        <f t="shared" si="2"/>
        <v>173</v>
      </c>
      <c r="K20" s="14">
        <f t="shared" si="3"/>
        <v>4</v>
      </c>
      <c r="L20" s="8" t="s">
        <v>36</v>
      </c>
      <c r="M20" s="8" t="s">
        <v>36</v>
      </c>
      <c r="N20" s="14" t="str">
        <f t="shared" si="4"/>
        <v>In stock on both</v>
      </c>
    </row>
    <row r="21" spans="1:14" ht="31.5" customHeight="1" x14ac:dyDescent="0.35">
      <c r="A21" s="8">
        <v>20</v>
      </c>
      <c r="B21" s="8" t="s">
        <v>68</v>
      </c>
      <c r="C21" s="8" t="s">
        <v>80</v>
      </c>
      <c r="D21" s="8" t="s">
        <v>81</v>
      </c>
      <c r="E21" s="8" t="s">
        <v>58</v>
      </c>
      <c r="F21" s="13">
        <v>113</v>
      </c>
      <c r="G21" s="13">
        <v>98</v>
      </c>
      <c r="H21" s="14">
        <f t="shared" si="0"/>
        <v>98</v>
      </c>
      <c r="I21" s="14" t="str">
        <f t="shared" si="1"/>
        <v>Blinkit</v>
      </c>
      <c r="J21" s="14">
        <f t="shared" si="2"/>
        <v>113</v>
      </c>
      <c r="K21" s="14">
        <f t="shared" si="3"/>
        <v>15</v>
      </c>
      <c r="L21" s="8" t="s">
        <v>36</v>
      </c>
      <c r="M21" s="8" t="s">
        <v>36</v>
      </c>
      <c r="N21" s="14" t="str">
        <f t="shared" si="4"/>
        <v>In stock on both</v>
      </c>
    </row>
    <row r="22" spans="1:14" ht="31.5" customHeight="1" x14ac:dyDescent="0.35">
      <c r="A22" s="8">
        <v>21</v>
      </c>
      <c r="B22" s="8" t="s">
        <v>82</v>
      </c>
      <c r="C22" s="8" t="s">
        <v>83</v>
      </c>
      <c r="D22" s="8" t="s">
        <v>84</v>
      </c>
      <c r="E22" s="8" t="s">
        <v>85</v>
      </c>
      <c r="F22" s="13">
        <v>120</v>
      </c>
      <c r="G22" s="13">
        <v>158</v>
      </c>
      <c r="H22" s="14">
        <f t="shared" si="0"/>
        <v>120</v>
      </c>
      <c r="I22" s="14" t="str">
        <f t="shared" si="1"/>
        <v>Instamart</v>
      </c>
      <c r="J22" s="14">
        <f t="shared" si="2"/>
        <v>158</v>
      </c>
      <c r="K22" s="14">
        <f t="shared" si="3"/>
        <v>38</v>
      </c>
      <c r="L22" s="8" t="s">
        <v>36</v>
      </c>
      <c r="M22" s="8" t="s">
        <v>36</v>
      </c>
      <c r="N22" s="14" t="str">
        <f t="shared" si="4"/>
        <v>In stock on both</v>
      </c>
    </row>
    <row r="23" spans="1:14" ht="31.5" customHeight="1" x14ac:dyDescent="0.35">
      <c r="A23" s="8">
        <v>22</v>
      </c>
      <c r="B23" s="8" t="s">
        <v>82</v>
      </c>
      <c r="C23" s="8" t="s">
        <v>86</v>
      </c>
      <c r="D23" s="8" t="s">
        <v>87</v>
      </c>
      <c r="E23" s="8" t="s">
        <v>88</v>
      </c>
      <c r="F23" s="13">
        <v>35</v>
      </c>
      <c r="G23" s="13">
        <v>20</v>
      </c>
      <c r="H23" s="14">
        <f t="shared" si="0"/>
        <v>20</v>
      </c>
      <c r="I23" s="14" t="str">
        <f t="shared" si="1"/>
        <v>Blinkit</v>
      </c>
      <c r="J23" s="14">
        <f t="shared" si="2"/>
        <v>35</v>
      </c>
      <c r="K23" s="14">
        <f t="shared" si="3"/>
        <v>15</v>
      </c>
      <c r="L23" s="8" t="s">
        <v>36</v>
      </c>
      <c r="M23" s="8" t="s">
        <v>36</v>
      </c>
      <c r="N23" s="14" t="str">
        <f t="shared" si="4"/>
        <v>In stock on both</v>
      </c>
    </row>
    <row r="24" spans="1:14" ht="31.5" customHeight="1" x14ac:dyDescent="0.35">
      <c r="A24" s="8">
        <v>23</v>
      </c>
      <c r="B24" s="8" t="s">
        <v>82</v>
      </c>
      <c r="C24" s="8" t="s">
        <v>89</v>
      </c>
      <c r="D24" s="8" t="s">
        <v>90</v>
      </c>
      <c r="E24" s="8" t="s">
        <v>91</v>
      </c>
      <c r="F24" s="13">
        <v>30</v>
      </c>
      <c r="G24" s="13">
        <v>30</v>
      </c>
      <c r="H24" s="14">
        <f t="shared" si="0"/>
        <v>30</v>
      </c>
      <c r="I24" s="14" t="str">
        <f t="shared" si="1"/>
        <v>Tie</v>
      </c>
      <c r="J24" s="14">
        <f t="shared" si="2"/>
        <v>30</v>
      </c>
      <c r="K24" s="14">
        <f t="shared" si="3"/>
        <v>0</v>
      </c>
      <c r="L24" s="8" t="s">
        <v>36</v>
      </c>
      <c r="M24" s="8" t="s">
        <v>36</v>
      </c>
      <c r="N24" s="14" t="str">
        <f t="shared" si="4"/>
        <v>In stock on both</v>
      </c>
    </row>
    <row r="25" spans="1:14" ht="31.5" customHeight="1" x14ac:dyDescent="0.35">
      <c r="A25" s="8">
        <v>24</v>
      </c>
      <c r="B25" s="8" t="s">
        <v>82</v>
      </c>
      <c r="C25" s="8" t="s">
        <v>92</v>
      </c>
      <c r="D25" s="8" t="s">
        <v>93</v>
      </c>
      <c r="E25" s="8" t="s">
        <v>94</v>
      </c>
      <c r="F25" s="13">
        <v>52</v>
      </c>
      <c r="G25" s="13">
        <v>52</v>
      </c>
      <c r="H25" s="14">
        <f t="shared" si="0"/>
        <v>52</v>
      </c>
      <c r="I25" s="14" t="str">
        <f t="shared" si="1"/>
        <v>Tie</v>
      </c>
      <c r="J25" s="14">
        <f t="shared" si="2"/>
        <v>52</v>
      </c>
      <c r="K25" s="14">
        <f t="shared" si="3"/>
        <v>0</v>
      </c>
      <c r="L25" s="8" t="s">
        <v>36</v>
      </c>
      <c r="M25" s="8" t="s">
        <v>36</v>
      </c>
      <c r="N25" s="14" t="str">
        <f t="shared" si="4"/>
        <v>In stock on both</v>
      </c>
    </row>
    <row r="26" spans="1:14" ht="31.5" customHeight="1" x14ac:dyDescent="0.35">
      <c r="A26" s="8">
        <v>25</v>
      </c>
      <c r="B26" s="8" t="s">
        <v>82</v>
      </c>
      <c r="C26" s="8" t="s">
        <v>95</v>
      </c>
      <c r="D26" s="8" t="s">
        <v>96</v>
      </c>
      <c r="E26" s="8" t="s">
        <v>97</v>
      </c>
      <c r="F26" s="13">
        <v>210</v>
      </c>
      <c r="G26" s="13">
        <v>210</v>
      </c>
      <c r="H26" s="14">
        <f t="shared" si="0"/>
        <v>210</v>
      </c>
      <c r="I26" s="14" t="str">
        <f t="shared" si="1"/>
        <v>Tie</v>
      </c>
      <c r="J26" s="14">
        <f t="shared" si="2"/>
        <v>210</v>
      </c>
      <c r="K26" s="14">
        <f t="shared" si="3"/>
        <v>0</v>
      </c>
      <c r="L26" s="8" t="s">
        <v>36</v>
      </c>
      <c r="M26" s="8" t="s">
        <v>36</v>
      </c>
      <c r="N26" s="14" t="str">
        <f t="shared" si="4"/>
        <v>In stock on both</v>
      </c>
    </row>
    <row r="27" spans="1:14" ht="31.5" customHeight="1" x14ac:dyDescent="0.35">
      <c r="A27" s="8">
        <v>26</v>
      </c>
      <c r="B27" s="8" t="s">
        <v>82</v>
      </c>
      <c r="C27" s="8" t="s">
        <v>98</v>
      </c>
      <c r="D27" s="8" t="s">
        <v>99</v>
      </c>
      <c r="E27" s="8" t="s">
        <v>58</v>
      </c>
      <c r="F27" s="13"/>
      <c r="G27" s="13">
        <v>199</v>
      </c>
      <c r="H27" s="14" t="str">
        <f t="shared" si="0"/>
        <v/>
      </c>
      <c r="I27" s="14" t="str">
        <f t="shared" si="1"/>
        <v/>
      </c>
      <c r="J27" s="14" t="str">
        <f t="shared" si="2"/>
        <v/>
      </c>
      <c r="K27" s="14" t="str">
        <f t="shared" si="3"/>
        <v/>
      </c>
      <c r="L27" s="8" t="s">
        <v>40</v>
      </c>
      <c r="M27" s="8" t="s">
        <v>36</v>
      </c>
      <c r="N27" s="14" t="str">
        <f t="shared" si="4"/>
        <v>Unavailable on Instamart</v>
      </c>
    </row>
    <row r="28" spans="1:14" ht="31.5" customHeight="1" x14ac:dyDescent="0.35">
      <c r="A28" s="8">
        <v>27</v>
      </c>
      <c r="B28" s="8" t="s">
        <v>100</v>
      </c>
      <c r="C28" s="8" t="s">
        <v>101</v>
      </c>
      <c r="D28" s="8" t="s">
        <v>102</v>
      </c>
      <c r="E28" s="8" t="s">
        <v>103</v>
      </c>
      <c r="F28" s="13"/>
      <c r="G28" s="13">
        <v>20</v>
      </c>
      <c r="H28" s="14" t="str">
        <f t="shared" si="0"/>
        <v/>
      </c>
      <c r="I28" s="14" t="str">
        <f t="shared" si="1"/>
        <v/>
      </c>
      <c r="J28" s="14" t="str">
        <f t="shared" si="2"/>
        <v/>
      </c>
      <c r="K28" s="14" t="str">
        <f t="shared" si="3"/>
        <v/>
      </c>
      <c r="L28" s="8" t="s">
        <v>40</v>
      </c>
      <c r="M28" s="8" t="s">
        <v>36</v>
      </c>
      <c r="N28" s="14" t="str">
        <f t="shared" si="4"/>
        <v>Unavailable on Instamart</v>
      </c>
    </row>
    <row r="29" spans="1:14" ht="31.5" customHeight="1" x14ac:dyDescent="0.35">
      <c r="A29" s="8">
        <v>28</v>
      </c>
      <c r="B29" s="8" t="s">
        <v>100</v>
      </c>
      <c r="C29" s="8" t="s">
        <v>104</v>
      </c>
      <c r="D29" s="8" t="s">
        <v>105</v>
      </c>
      <c r="E29" s="8" t="s">
        <v>58</v>
      </c>
      <c r="F29" s="13">
        <v>110</v>
      </c>
      <c r="G29" s="13">
        <v>123</v>
      </c>
      <c r="H29" s="14">
        <f t="shared" si="0"/>
        <v>110</v>
      </c>
      <c r="I29" s="14" t="str">
        <f t="shared" si="1"/>
        <v>Instamart</v>
      </c>
      <c r="J29" s="14">
        <f t="shared" si="2"/>
        <v>123</v>
      </c>
      <c r="K29" s="14">
        <f t="shared" si="3"/>
        <v>13</v>
      </c>
      <c r="L29" s="8" t="s">
        <v>36</v>
      </c>
      <c r="M29" s="8" t="s">
        <v>36</v>
      </c>
      <c r="N29" s="14" t="str">
        <f t="shared" si="4"/>
        <v>In stock on both</v>
      </c>
    </row>
    <row r="30" spans="1:14" ht="31.5" customHeight="1" x14ac:dyDescent="0.35">
      <c r="A30" s="8">
        <v>29</v>
      </c>
      <c r="B30" s="8" t="s">
        <v>100</v>
      </c>
      <c r="C30" s="8" t="s">
        <v>106</v>
      </c>
      <c r="D30" s="8" t="s">
        <v>107</v>
      </c>
      <c r="E30" s="8" t="s">
        <v>108</v>
      </c>
      <c r="F30" s="13"/>
      <c r="G30" s="13">
        <v>158</v>
      </c>
      <c r="H30" s="14" t="str">
        <f t="shared" si="0"/>
        <v/>
      </c>
      <c r="I30" s="14" t="str">
        <f t="shared" si="1"/>
        <v/>
      </c>
      <c r="J30" s="14" t="str">
        <f t="shared" si="2"/>
        <v/>
      </c>
      <c r="K30" s="14" t="str">
        <f t="shared" si="3"/>
        <v/>
      </c>
      <c r="L30" s="8" t="s">
        <v>40</v>
      </c>
      <c r="M30" s="8" t="s">
        <v>36</v>
      </c>
      <c r="N30" s="14" t="str">
        <f t="shared" si="4"/>
        <v>Unavailable on Instamart</v>
      </c>
    </row>
    <row r="31" spans="1:14" ht="31.5" customHeight="1" x14ac:dyDescent="0.35">
      <c r="A31" s="8">
        <v>30</v>
      </c>
      <c r="B31" s="8" t="s">
        <v>100</v>
      </c>
      <c r="C31" s="8" t="s">
        <v>109</v>
      </c>
      <c r="D31" s="8" t="s">
        <v>110</v>
      </c>
      <c r="E31" s="8" t="s">
        <v>108</v>
      </c>
      <c r="F31" s="13"/>
      <c r="G31" s="13">
        <v>99</v>
      </c>
      <c r="H31" s="14" t="str">
        <f t="shared" si="0"/>
        <v/>
      </c>
      <c r="I31" s="14" t="str">
        <f t="shared" si="1"/>
        <v/>
      </c>
      <c r="J31" s="14" t="str">
        <f t="shared" si="2"/>
        <v/>
      </c>
      <c r="K31" s="14" t="str">
        <f t="shared" si="3"/>
        <v/>
      </c>
      <c r="L31" s="8" t="s">
        <v>40</v>
      </c>
      <c r="M31" s="8" t="s">
        <v>36</v>
      </c>
      <c r="N31" s="14" t="str">
        <f t="shared" si="4"/>
        <v>Unavailable on Instamart</v>
      </c>
    </row>
    <row r="32" spans="1:14" ht="14.25" customHeight="1" x14ac:dyDescent="0.35">
      <c r="M32" s="8"/>
    </row>
    <row r="33" spans="1:13" ht="14.25" customHeight="1" x14ac:dyDescent="0.35">
      <c r="A33" t="s">
        <v>111</v>
      </c>
      <c r="M33" s="8"/>
    </row>
    <row r="34" spans="1:13" ht="14.25" customHeight="1" x14ac:dyDescent="0.35">
      <c r="A34" t="s">
        <v>112</v>
      </c>
      <c r="M34" s="8"/>
    </row>
    <row r="35" spans="1:13" ht="14.25" customHeight="1" x14ac:dyDescent="0.35">
      <c r="A35" t="s">
        <v>113</v>
      </c>
      <c r="M35" s="8"/>
    </row>
    <row r="36" spans="1:13" ht="14.25" customHeight="1" x14ac:dyDescent="0.35">
      <c r="M36" s="8"/>
    </row>
    <row r="37" spans="1:13" ht="14.25" customHeight="1" x14ac:dyDescent="0.35">
      <c r="M37" s="8"/>
    </row>
    <row r="38" spans="1:13" ht="14.25" customHeight="1" x14ac:dyDescent="0.35">
      <c r="M38" s="8"/>
    </row>
    <row r="39" spans="1:13" ht="14.25" customHeight="1" x14ac:dyDescent="0.35">
      <c r="M39" s="8"/>
    </row>
    <row r="40" spans="1:13" ht="14.25" customHeight="1" x14ac:dyDescent="0.35">
      <c r="M40" s="8"/>
    </row>
    <row r="41" spans="1:13" ht="14.25" customHeight="1" x14ac:dyDescent="0.35">
      <c r="M41" s="8"/>
    </row>
    <row r="42" spans="1:13" ht="14.25" customHeight="1" x14ac:dyDescent="0.35">
      <c r="M42" s="8"/>
    </row>
    <row r="43" spans="1:13" ht="14.25" customHeight="1" x14ac:dyDescent="0.35">
      <c r="M43" s="8"/>
    </row>
    <row r="44" spans="1:13" ht="14.25" customHeight="1" x14ac:dyDescent="0.35">
      <c r="M44" s="8"/>
    </row>
    <row r="45" spans="1:13" ht="14.25" customHeight="1" x14ac:dyDescent="0.35">
      <c r="M45" s="8"/>
    </row>
    <row r="46" spans="1:13" ht="14.25" customHeight="1" x14ac:dyDescent="0.35">
      <c r="M46" s="8"/>
    </row>
    <row r="47" spans="1:13" ht="14.25" customHeight="1" x14ac:dyDescent="0.35">
      <c r="M47" s="8"/>
    </row>
  </sheetData>
  <autoFilter ref="A1:M31" xr:uid="{00000000-0009-0000-0000-000001000000}"/>
  <conditionalFormatting sqref="F2:G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31">
    <cfRule type="colorScale" priority="2">
      <colorScale>
        <cfvo type="min"/>
        <cfvo type="max"/>
        <color rgb="FF63BE7B"/>
        <color rgb="FFF8696B"/>
      </colorScale>
    </cfRule>
  </conditionalFormatting>
  <dataValidations count="1">
    <dataValidation type="list" allowBlank="1" sqref="L2:M31 M32:M47" xr:uid="{00000000-0002-0000-0100-000000000000}">
      <formula1>"Yes,No,Not checked"</formula1>
      <formula2>0</formula2>
    </dataValidation>
  </dataValidations>
  <pageMargins left="0.25" right="0.2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4" customWidth="1"/>
    <col min="2" max="3" width="30" customWidth="1"/>
    <col min="4" max="4" width="24" customWidth="1"/>
    <col min="5" max="5" width="16" customWidth="1"/>
  </cols>
  <sheetData>
    <row r="1" spans="1:5" ht="42" customHeight="1" x14ac:dyDescent="0.35">
      <c r="A1" s="7" t="s">
        <v>19</v>
      </c>
      <c r="B1" s="7" t="s">
        <v>114</v>
      </c>
      <c r="C1" s="7" t="s">
        <v>115</v>
      </c>
      <c r="D1" s="7" t="s">
        <v>116</v>
      </c>
      <c r="E1" s="7" t="s">
        <v>117</v>
      </c>
    </row>
    <row r="2" spans="1:5" ht="14.25" customHeight="1" x14ac:dyDescent="0.35">
      <c r="A2" s="15" t="s">
        <v>32</v>
      </c>
      <c r="B2" s="16">
        <f>SUMIFS('Price Comparison'!$F$2:$F$31,'Price Comparison'!$B$2:$B$31,A2,'Price Comparison'!$L$2:$L$31,"Yes",'Price Comparison'!$M$2:$M$31,"Yes")</f>
        <v>211</v>
      </c>
      <c r="C2" s="16">
        <f>SUMIFS('Price Comparison'!$G$2:$G$31,'Price Comparison'!$B$2:$B$31,A2,'Price Comparison'!$L$2:$L$31,"Yes",'Price Comparison'!$M$2:$M$31,"Yes")</f>
        <v>188</v>
      </c>
      <c r="D2" s="15" t="str">
        <f>IF(B2=C2,"Tie",IF(B2&lt;C2,"Instamart","Blinkit"))</f>
        <v>Blinkit</v>
      </c>
      <c r="E2" s="15">
        <f>COUNTIFS('Price Comparison'!$B$2:$B$31,A2,'Price Comparison'!$L$2:$L$31,"Yes",'Price Comparison'!$M$2:$M$31,"Yes")</f>
        <v>3</v>
      </c>
    </row>
    <row r="3" spans="1:5" ht="14.25" customHeight="1" x14ac:dyDescent="0.35">
      <c r="A3" s="15" t="s">
        <v>55</v>
      </c>
      <c r="B3" s="16">
        <f>SUMIFS('Price Comparison'!$F$2:$F$31,'Price Comparison'!$B$2:$B$31,A3,'Price Comparison'!$L$2:$L$31,"Yes",'Price Comparison'!$M$2:$M$31,"Yes")</f>
        <v>158</v>
      </c>
      <c r="C3" s="16">
        <f>SUMIFS('Price Comparison'!$G$2:$G$31,'Price Comparison'!$B$2:$B$31,A3,'Price Comparison'!$L$2:$L$31,"Yes",'Price Comparison'!$M$2:$M$31,"Yes")</f>
        <v>150</v>
      </c>
      <c r="D3" s="15" t="str">
        <f>IF(B3=C3,"Tie",IF(B3&lt;C3,"Instamart","Blinkit"))</f>
        <v>Blinkit</v>
      </c>
      <c r="E3" s="15">
        <f>COUNTIFS('Price Comparison'!$B$2:$B$31,A3,'Price Comparison'!$L$2:$L$31,"Yes",'Price Comparison'!$M$2:$M$31,"Yes")</f>
        <v>4</v>
      </c>
    </row>
    <row r="4" spans="1:5" ht="14.25" customHeight="1" x14ac:dyDescent="0.35">
      <c r="A4" s="15" t="s">
        <v>68</v>
      </c>
      <c r="B4" s="16">
        <f>SUMIFS('Price Comparison'!$F$2:$F$31,'Price Comparison'!$B$2:$B$31,A4,'Price Comparison'!$L$2:$L$31,"Yes",'Price Comparison'!$M$2:$M$31,"Yes")</f>
        <v>527</v>
      </c>
      <c r="C4" s="16">
        <f>SUMIFS('Price Comparison'!$G$2:$G$31,'Price Comparison'!$B$2:$B$31,A4,'Price Comparison'!$L$2:$L$31,"Yes",'Price Comparison'!$M$2:$M$31,"Yes")</f>
        <v>513</v>
      </c>
      <c r="D4" s="15" t="str">
        <f>IF(B4=C4,"Tie",IF(B4&lt;C4,"Instamart","Blinkit"))</f>
        <v>Blinkit</v>
      </c>
      <c r="E4" s="15">
        <f>COUNTIFS('Price Comparison'!$B$2:$B$31,A4,'Price Comparison'!$L$2:$L$31,"Yes",'Price Comparison'!$M$2:$M$31,"Yes")</f>
        <v>5</v>
      </c>
    </row>
    <row r="5" spans="1:5" ht="14.25" customHeight="1" x14ac:dyDescent="0.35">
      <c r="A5" s="15" t="s">
        <v>82</v>
      </c>
      <c r="B5" s="16">
        <f>SUMIFS('Price Comparison'!$F$2:$F$31,'Price Comparison'!$B$2:$B$31,A5,'Price Comparison'!$L$2:$L$31,"Yes",'Price Comparison'!$M$2:$M$31,"Yes")</f>
        <v>447</v>
      </c>
      <c r="C5" s="16">
        <f>SUMIFS('Price Comparison'!$G$2:$G$31,'Price Comparison'!$B$2:$B$31,A5,'Price Comparison'!$L$2:$L$31,"Yes",'Price Comparison'!$M$2:$M$31,"Yes")</f>
        <v>470</v>
      </c>
      <c r="D5" s="15" t="str">
        <f>IF(B5=C5,"Tie",IF(B5&lt;C5,"Instamart","Blinkit"))</f>
        <v>Instamart</v>
      </c>
      <c r="E5" s="15">
        <f>COUNTIFS('Price Comparison'!$B$2:$B$31,A5,'Price Comparison'!$L$2:$L$31,"Yes",'Price Comparison'!$M$2:$M$31,"Yes")</f>
        <v>5</v>
      </c>
    </row>
    <row r="6" spans="1:5" ht="14.25" customHeight="1" x14ac:dyDescent="0.35">
      <c r="A6" s="15" t="s">
        <v>100</v>
      </c>
      <c r="B6" s="16">
        <f>SUMIFS('Price Comparison'!$F$2:$F$31,'Price Comparison'!$B$2:$B$31,A6,'Price Comparison'!$L$2:$L$31,"Yes",'Price Comparison'!$M$2:$M$31,"Yes")</f>
        <v>110</v>
      </c>
      <c r="C6" s="16">
        <f>SUMIFS('Price Comparison'!$G$2:$G$31,'Price Comparison'!$B$2:$B$31,A6,'Price Comparison'!$L$2:$L$31,"Yes",'Price Comparison'!$M$2:$M$31,"Yes")</f>
        <v>123</v>
      </c>
      <c r="D6" s="15" t="str">
        <f>IF(B6=C6,"Tie",IF(B6&lt;C6,"Instamart","Blinkit"))</f>
        <v>Instamart</v>
      </c>
      <c r="E6" s="15">
        <f>COUNTIFS('Price Comparison'!$B$2:$B$31,A6,'Price Comparison'!$L$2:$L$31,"Yes",'Price Comparison'!$M$2:$M$31,"Yes")</f>
        <v>1</v>
      </c>
    </row>
    <row r="8" spans="1:5" ht="14.25" customHeight="1" x14ac:dyDescent="0.35">
      <c r="A8" t="s">
        <v>118</v>
      </c>
    </row>
  </sheetData>
  <autoFilter ref="A1:D6" xr:uid="{00000000-0009-0000-0000-000002000000}"/>
  <conditionalFormatting sqref="B2:C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5" right="0.2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3"/>
  <sheetViews>
    <sheetView showGridLines="0" tabSelected="1" zoomScaleNormal="100" workbookViewId="0">
      <pane ySplit="3" topLeftCell="A4" activePane="bottomLeft" state="frozen"/>
      <selection pane="bottomLeft" sqref="A1:C1"/>
    </sheetView>
  </sheetViews>
  <sheetFormatPr defaultColWidth="8.6328125" defaultRowHeight="14.5" x14ac:dyDescent="0.35"/>
  <cols>
    <col min="1" max="1" width="62" customWidth="1"/>
    <col min="2" max="3" width="22" customWidth="1"/>
  </cols>
  <sheetData>
    <row r="1" spans="1:3" ht="30" customHeight="1" x14ac:dyDescent="0.35">
      <c r="A1" s="4" t="s">
        <v>119</v>
      </c>
      <c r="B1" s="4"/>
      <c r="C1" s="4"/>
    </row>
    <row r="2" spans="1:3" ht="33.75" customHeight="1" x14ac:dyDescent="0.35">
      <c r="A2" s="3" t="s">
        <v>120</v>
      </c>
      <c r="B2" s="3"/>
      <c r="C2" s="3"/>
    </row>
    <row r="3" spans="1:3" ht="14.25" customHeight="1" x14ac:dyDescent="0.35">
      <c r="A3" s="15"/>
      <c r="B3" s="15"/>
      <c r="C3" s="15"/>
    </row>
    <row r="4" spans="1:3" ht="14.25" customHeight="1" x14ac:dyDescent="0.35">
      <c r="A4" s="7" t="s">
        <v>1</v>
      </c>
      <c r="B4" s="7" t="s">
        <v>2</v>
      </c>
      <c r="C4" s="7" t="s">
        <v>3</v>
      </c>
    </row>
    <row r="5" spans="1:3" ht="14.25" customHeight="1" x14ac:dyDescent="0.35">
      <c r="A5" s="17" t="s">
        <v>121</v>
      </c>
      <c r="B5" s="16">
        <f>SUMIF('Price Comparison'!L2:L31,"Yes",'Price Comparison'!F2:F31)</f>
        <v>1453</v>
      </c>
      <c r="C5" s="16">
        <f>SUMIF('Price Comparison'!M2:M31,"Yes",'Price Comparison'!G2:G31)</f>
        <v>2409</v>
      </c>
    </row>
    <row r="6" spans="1:3" ht="14.25" customHeight="1" x14ac:dyDescent="0.35">
      <c r="A6" s="17" t="s">
        <v>122</v>
      </c>
      <c r="B6" s="15">
        <f>COUNT('Price Comparison'!F2:F31)</f>
        <v>22</v>
      </c>
      <c r="C6" s="15">
        <f>COUNT('Price Comparison'!G2:G31)</f>
        <v>30</v>
      </c>
    </row>
    <row r="7" spans="1:3" ht="14.25" customHeight="1" x14ac:dyDescent="0.35">
      <c r="A7" s="17" t="s">
        <v>123</v>
      </c>
      <c r="B7" s="15">
        <f>COUNTIF('Price Comparison'!L2:L31,"Yes")</f>
        <v>18</v>
      </c>
      <c r="C7" s="15">
        <f>COUNTIF('Price Comparison'!M2:M31,"Yes")</f>
        <v>29</v>
      </c>
    </row>
    <row r="8" spans="1:3" ht="14.25" customHeight="1" x14ac:dyDescent="0.35">
      <c r="A8" s="17" t="s">
        <v>124</v>
      </c>
      <c r="B8" s="18">
        <v>0</v>
      </c>
      <c r="C8" s="18">
        <v>0</v>
      </c>
    </row>
    <row r="9" spans="1:3" ht="14.25" customHeight="1" x14ac:dyDescent="0.35">
      <c r="A9" s="17" t="s">
        <v>125</v>
      </c>
      <c r="B9" s="18">
        <v>11.98</v>
      </c>
      <c r="C9" s="18">
        <v>10</v>
      </c>
    </row>
    <row r="10" spans="1:3" ht="14.25" customHeight="1" x14ac:dyDescent="0.35">
      <c r="A10" s="17" t="s">
        <v>126</v>
      </c>
      <c r="B10" s="18">
        <v>0</v>
      </c>
      <c r="C10" s="18">
        <v>0</v>
      </c>
    </row>
    <row r="11" spans="1:3" ht="14.25" customHeight="1" x14ac:dyDescent="0.35">
      <c r="A11" s="17" t="s">
        <v>127</v>
      </c>
      <c r="B11" s="16">
        <f>B5+B8+B9-B10</f>
        <v>1464.98</v>
      </c>
      <c r="C11" s="16">
        <f>C5+C8+C9-C10</f>
        <v>2419</v>
      </c>
    </row>
    <row r="12" spans="1:3" ht="14.25" customHeight="1" x14ac:dyDescent="0.35">
      <c r="A12" s="15"/>
      <c r="B12" s="15"/>
      <c r="C12" s="15"/>
    </row>
    <row r="13" spans="1:3" ht="14.25" customHeight="1" x14ac:dyDescent="0.35">
      <c r="A13" s="19" t="s">
        <v>16</v>
      </c>
      <c r="B13" s="2" t="str">
        <f>'Key Findings'!B17</f>
        <v>Blinkit</v>
      </c>
      <c r="C13" s="2"/>
    </row>
    <row r="14" spans="1:3" ht="14.25" customHeight="1" x14ac:dyDescent="0.35">
      <c r="A14" s="15"/>
      <c r="B14" s="15"/>
      <c r="C14" s="15"/>
    </row>
    <row r="15" spans="1:3" ht="14.25" customHeight="1" x14ac:dyDescent="0.35">
      <c r="A15" s="20" t="s">
        <v>128</v>
      </c>
      <c r="B15" s="15"/>
      <c r="C15" s="15"/>
    </row>
    <row r="16" spans="1:3" ht="14.25" customHeight="1" x14ac:dyDescent="0.35">
      <c r="A16" s="15" t="s">
        <v>129</v>
      </c>
      <c r="B16" s="15" t="s">
        <v>130</v>
      </c>
      <c r="C16" s="15"/>
    </row>
    <row r="17" spans="1:3" ht="14.25" customHeight="1" x14ac:dyDescent="0.35">
      <c r="A17" s="15" t="s">
        <v>131</v>
      </c>
      <c r="B17" s="15" t="s">
        <v>132</v>
      </c>
      <c r="C17" s="15"/>
    </row>
    <row r="18" spans="1:3" ht="14.25" customHeight="1" x14ac:dyDescent="0.35">
      <c r="A18" s="15" t="s">
        <v>133</v>
      </c>
      <c r="B18" s="15" t="s">
        <v>134</v>
      </c>
      <c r="C18" s="15"/>
    </row>
    <row r="19" spans="1:3" ht="14.25" customHeight="1" x14ac:dyDescent="0.35">
      <c r="A19" s="15" t="s">
        <v>135</v>
      </c>
      <c r="B19" s="15" t="s">
        <v>136</v>
      </c>
      <c r="C19" s="15"/>
    </row>
    <row r="20" spans="1:3" ht="14.25" customHeight="1" x14ac:dyDescent="0.35">
      <c r="A20" s="15"/>
      <c r="B20" s="15"/>
      <c r="C20" s="15"/>
    </row>
    <row r="21" spans="1:3" ht="37.5" customHeight="1" x14ac:dyDescent="0.35">
      <c r="A21" s="15" t="s">
        <v>137</v>
      </c>
      <c r="B21" s="1" t="s">
        <v>138</v>
      </c>
      <c r="C21" s="1"/>
    </row>
    <row r="22" spans="1:3" ht="14.25" customHeight="1" x14ac:dyDescent="0.35">
      <c r="A22" s="15"/>
      <c r="B22" s="1"/>
      <c r="C22" s="1"/>
    </row>
    <row r="23" spans="1:3" ht="63" customHeight="1" x14ac:dyDescent="0.35">
      <c r="A23" s="15"/>
      <c r="B23" s="1"/>
      <c r="C23" s="1"/>
    </row>
  </sheetData>
  <mergeCells count="4">
    <mergeCell ref="A1:C1"/>
    <mergeCell ref="A2:C2"/>
    <mergeCell ref="B13:C13"/>
    <mergeCell ref="B21:C23"/>
  </mergeCells>
  <pageMargins left="0.25" right="0.2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Findings</vt:lpstr>
      <vt:lpstr>Price Comparison</vt:lpstr>
      <vt:lpstr>Category Analysis</vt:lpstr>
      <vt:lpstr>Basket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sanjana yarnagula</cp:lastModifiedBy>
  <cp:revision>0</cp:revision>
  <dcterms:created xsi:type="dcterms:W3CDTF">2026-10-23T12:57:27Z</dcterms:created>
  <dcterms:modified xsi:type="dcterms:W3CDTF">2026-10-24T13:23:33Z</dcterms:modified>
  <dc:language>en-US</dc:language>
</cp:coreProperties>
</file>